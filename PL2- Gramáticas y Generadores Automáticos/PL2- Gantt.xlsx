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diego_diazv_edu_uah_es/Documents/PROCESADORES/PL2/"/>
    </mc:Choice>
  </mc:AlternateContent>
  <xr:revisionPtr revIDLastSave="245" documentId="8_{448CCEC2-2A40-4B6D-BE01-65F6DE897DBB}" xr6:coauthVersionLast="47" xr6:coauthVersionMax="47" xr10:uidLastSave="{5237D28C-D75A-45BC-A21F-79D5B1F8F743}"/>
  <bookViews>
    <workbookView xWindow="-108" yWindow="-108" windowWidth="23256" windowHeight="12456" xr2:uid="{00000000-000D-0000-FFFF-FFFF00000000}"/>
  </bookViews>
  <sheets>
    <sheet name="GANTT" sheetId="11" r:id="rId1"/>
  </sheets>
  <definedNames>
    <definedName name="_xlnm.Print_Area" localSheetId="0">GANTT!$1:$32</definedName>
    <definedName name="task_end" localSheetId="0">GANTT!$F1</definedName>
    <definedName name="task_progress" localSheetId="0">GANTT!$D1</definedName>
    <definedName name="task_start" localSheetId="0">GANTT!$E1</definedName>
    <definedName name="_xlnm.Print_Titles" localSheetId="0">GANTT!$4:$6</definedName>
    <definedName name="today" localSheetId="0">GANTT!$E$3</definedName>
    <definedName name="valuevx">42.314159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1" l="1"/>
  <c r="H31" i="11"/>
  <c r="H30" i="11"/>
  <c r="H29" i="11"/>
  <c r="H28" i="11"/>
  <c r="H27" i="11"/>
  <c r="H26" i="11"/>
  <c r="H19" i="11"/>
  <c r="H18" i="11"/>
  <c r="H17" i="11"/>
  <c r="H16" i="11"/>
  <c r="H15" i="11"/>
  <c r="H14" i="11"/>
  <c r="H13" i="11"/>
  <c r="H11" i="11"/>
  <c r="H10" i="11"/>
  <c r="H9" i="11"/>
  <c r="H8" i="11"/>
  <c r="H7" i="11"/>
  <c r="I5" i="11" l="1"/>
  <c r="I6" i="11" l="1"/>
  <c r="J5" i="11" l="1"/>
  <c r="K5" i="11" s="1"/>
  <c r="L5" i="11" s="1"/>
  <c r="M5" i="11" s="1"/>
  <c r="N5" i="11" s="1"/>
  <c r="O5" i="11" s="1"/>
  <c r="P5" i="11" s="1"/>
  <c r="I4" i="11"/>
  <c r="P4" i="11" l="1"/>
  <c r="Q5" i="11"/>
  <c r="R5" i="11" s="1"/>
  <c r="S5" i="11" s="1"/>
  <c r="T5" i="11" s="1"/>
  <c r="U5" i="11" s="1"/>
  <c r="V5" i="11" s="1"/>
  <c r="W5" i="11" s="1"/>
  <c r="J6" i="11"/>
  <c r="W4" i="11" l="1"/>
  <c r="X5" i="11"/>
  <c r="Y5" i="11" s="1"/>
  <c r="Z5" i="11" s="1"/>
  <c r="AA5" i="11" s="1"/>
  <c r="AB5" i="11" s="1"/>
  <c r="AC5" i="11" s="1"/>
  <c r="AD5" i="11" s="1"/>
  <c r="K6" i="11"/>
  <c r="AE5" i="11" l="1"/>
  <c r="AF5" i="11" s="1"/>
  <c r="AG5" i="11" s="1"/>
  <c r="AH5" i="11" s="1"/>
  <c r="AI5" i="11" s="1"/>
  <c r="AJ5" i="11" s="1"/>
  <c r="AD4" i="11"/>
  <c r="L6" i="11"/>
  <c r="AK5" i="11" l="1"/>
  <c r="AL5" i="11" s="1"/>
  <c r="AM5" i="11" s="1"/>
  <c r="AN5" i="11" s="1"/>
  <c r="AO5" i="11" s="1"/>
  <c r="AP5" i="11" s="1"/>
  <c r="AQ5" i="11" s="1"/>
  <c r="M6" i="11"/>
  <c r="AK4" i="11" l="1"/>
  <c r="N6" i="11"/>
  <c r="O6" i="11" l="1"/>
  <c r="P6" i="11" l="1"/>
  <c r="Q6" i="11"/>
  <c r="R6" i="11" l="1"/>
  <c r="S6" i="11" l="1"/>
  <c r="T6" i="11" l="1"/>
  <c r="U6" i="11" l="1"/>
  <c r="V6" i="11" l="1"/>
  <c r="W6" i="11" l="1"/>
  <c r="X6" i="11" l="1"/>
  <c r="Y6" i="11" l="1"/>
  <c r="Z6" i="11" l="1"/>
  <c r="AA6" i="11" l="1"/>
  <c r="AB6" i="11" l="1"/>
  <c r="AC6" i="11" l="1"/>
  <c r="AD6" i="11" l="1"/>
  <c r="AE6" i="11" l="1"/>
  <c r="AF6" i="11" l="1"/>
  <c r="AG6" i="11" l="1"/>
  <c r="AH6" i="11" l="1"/>
  <c r="AI6" i="11" l="1"/>
  <c r="AJ6" i="11" l="1"/>
  <c r="AK6" i="11" l="1"/>
  <c r="AL6" i="11" l="1"/>
  <c r="AM6" i="11" l="1"/>
  <c r="AN6" i="11" l="1"/>
  <c r="AO6" i="11" l="1"/>
  <c r="AP6" i="11" l="1"/>
  <c r="AQ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<sst xmlns="http://schemas.openxmlformats.org/spreadsheetml/2006/main" count="56" uniqueCount="36">
  <si>
    <t>PL2 PROCESADORES</t>
  </si>
  <si>
    <t>Comienzo</t>
  </si>
  <si>
    <t>Hoy</t>
  </si>
  <si>
    <t>Display Week:</t>
  </si>
  <si>
    <t>TAREA</t>
  </si>
  <si>
    <t>RESPONSABLE</t>
  </si>
  <si>
    <t>PROGRESO</t>
  </si>
  <si>
    <t>COMIENZO</t>
  </si>
  <si>
    <t>FIN</t>
  </si>
  <si>
    <t>DAYS</t>
  </si>
  <si>
    <t>Parte 0 - Preparación</t>
  </si>
  <si>
    <t>Instalar ANTLR</t>
  </si>
  <si>
    <t>Diego</t>
  </si>
  <si>
    <t>Lucía</t>
  </si>
  <si>
    <t>Fer</t>
  </si>
  <si>
    <t>Ver vídeo ejercicio ANTLR</t>
  </si>
  <si>
    <t>Parte 1 - Generación de arboles sintácticos para lenguajes</t>
  </si>
  <si>
    <t>1.1. Analizador léxico para leer un CSV</t>
  </si>
  <si>
    <t>1.1. Analizador sintáctico para leer un CSV</t>
  </si>
  <si>
    <t>1.1. AST correspondiente a un CSV</t>
  </si>
  <si>
    <t>1.1. Pasar AST a formato de texto legible</t>
  </si>
  <si>
    <t>1.2. Diseñar lenguaje de programación mínimo</t>
  </si>
  <si>
    <t>Diego + Lucía</t>
  </si>
  <si>
    <t>1.2. Generar la gramática para el lenguaje de programación mínimo</t>
  </si>
  <si>
    <t>1.2. Crear el lexer para el lenguaje</t>
  </si>
  <si>
    <t>1.2. Crear el parser para el lenguaje</t>
  </si>
  <si>
    <t>1.2. Ampliaciones de la gramática</t>
  </si>
  <si>
    <t>1.2. Pasar AST a formato de texto legible</t>
  </si>
  <si>
    <t>Parte 2 - IKEA</t>
  </si>
  <si>
    <t>Pasar todas las instrucciones a texto</t>
  </si>
  <si>
    <t>Definir lenguaje que reconozca esas instrucciones</t>
  </si>
  <si>
    <t>Generar lexer y parser para el lenguaje</t>
  </si>
  <si>
    <t>Construir el AST para el lenguaje</t>
  </si>
  <si>
    <t>TODOS</t>
  </si>
  <si>
    <t>DOCUMENTACIÓN</t>
  </si>
  <si>
    <t>COMPLETAR MEMORIA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</si>
</sst>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;@"/>
    <numFmt numFmtId="165" formatCode="mmm\ d\,\ yyyy"/>
    <numFmt numFmtId="166" formatCode="d"/>
    <numFmt numFmtId="167" formatCode="[$-C0A]dd\-mmm\-yy;@"/>
  </numFmts>
  <fonts count="20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9"/>
      <color theme="4" tint="-0.249977111117893"/>
      <name val="Arial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16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6" fillId="10" borderId="1" xfId="0" applyFont="1" applyFill="1" applyBorder="1" applyAlignment="1">
      <alignment horizontal="center" vertical="center" wrapText="1"/>
    </xf>
    <xf numFmtId="166" fontId="10" fillId="5" borderId="0" xfId="0" applyNumberFormat="1" applyFont="1" applyFill="1" applyAlignment="1">
      <alignment horizontal="center" vertical="center"/>
    </xf>
    <xf numFmtId="166" fontId="10" fillId="5" borderId="8" xfId="0" applyNumberFormat="1" applyFont="1" applyFill="1" applyBorder="1" applyAlignment="1">
      <alignment horizontal="center" vertical="center"/>
    </xf>
    <xf numFmtId="166" fontId="10" fillId="5" borderId="9" xfId="0" applyNumberFormat="1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shrinkToFi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9" fontId="4" fillId="6" borderId="2" xfId="2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center" vertical="center"/>
    </xf>
    <xf numFmtId="9" fontId="4" fillId="7" borderId="2" xfId="2" applyFon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2"/>
    </xf>
    <xf numFmtId="0" fontId="0" fillId="3" borderId="2" xfId="0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9" fontId="4" fillId="4" borderId="2" xfId="2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indent="2"/>
    </xf>
    <xf numFmtId="0" fontId="0" fillId="8" borderId="2" xfId="0" applyFill="1" applyBorder="1" applyAlignment="1">
      <alignment horizontal="center" vertical="center"/>
    </xf>
    <xf numFmtId="9" fontId="4" fillId="8" borderId="2" xfId="2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7" fontId="0" fillId="2" borderId="2" xfId="0" applyNumberForma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167" fontId="0" fillId="8" borderId="2" xfId="0" applyNumberFormat="1" applyFill="1" applyBorder="1" applyAlignment="1">
      <alignment horizontal="center" vertical="center"/>
    </xf>
    <xf numFmtId="0" fontId="3" fillId="2" borderId="2" xfId="1" applyFill="1" applyBorder="1" applyAlignment="1" applyProtection="1">
      <alignment horizontal="left" vertical="center" indent="2"/>
    </xf>
    <xf numFmtId="0" fontId="8" fillId="13" borderId="2" xfId="5" applyBorder="1" applyAlignment="1">
      <alignment horizontal="left" vertical="center" indent="1"/>
    </xf>
    <xf numFmtId="0" fontId="8" fillId="13" borderId="2" xfId="5" applyBorder="1" applyAlignment="1">
      <alignment horizontal="center" vertical="center"/>
    </xf>
    <xf numFmtId="9" fontId="8" fillId="13" borderId="2" xfId="5" applyNumberFormat="1" applyBorder="1" applyAlignment="1">
      <alignment horizontal="center" vertical="center"/>
    </xf>
    <xf numFmtId="164" fontId="8" fillId="13" borderId="2" xfId="5" applyNumberFormat="1" applyBorder="1" applyAlignment="1">
      <alignment horizontal="center" vertical="center"/>
    </xf>
    <xf numFmtId="0" fontId="8" fillId="12" borderId="2" xfId="4" applyBorder="1" applyAlignment="1">
      <alignment horizontal="left" vertical="center" indent="2"/>
    </xf>
    <xf numFmtId="0" fontId="8" fillId="12" borderId="2" xfId="4" applyBorder="1" applyAlignment="1">
      <alignment horizontal="center" vertical="center"/>
    </xf>
    <xf numFmtId="9" fontId="8" fillId="12" borderId="2" xfId="4" applyNumberFormat="1" applyBorder="1" applyAlignment="1">
      <alignment horizontal="center" vertical="center"/>
    </xf>
    <xf numFmtId="167" fontId="8" fillId="12" borderId="2" xfId="4" applyNumberFormat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6" fillId="11" borderId="11" xfId="3" applyBorder="1" applyAlignment="1">
      <alignment vertical="center"/>
    </xf>
    <xf numFmtId="167" fontId="0" fillId="0" borderId="4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5" fontId="0" fillId="5" borderId="6" xfId="0" applyNumberFormat="1" applyFill="1" applyBorder="1" applyAlignment="1">
      <alignment horizontal="left" vertical="center" wrapText="1" indent="1"/>
    </xf>
    <xf numFmtId="165" fontId="0" fillId="5" borderId="1" xfId="0" applyNumberFormat="1" applyFill="1" applyBorder="1" applyAlignment="1">
      <alignment horizontal="left" vertical="center" wrapText="1" indent="1"/>
    </xf>
    <xf numFmtId="165" fontId="0" fillId="5" borderId="7" xfId="0" applyNumberFormat="1" applyFill="1" applyBorder="1" applyAlignment="1">
      <alignment horizontal="left" vertical="center" wrapText="1" indent="1"/>
    </xf>
    <xf numFmtId="0" fontId="17" fillId="0" borderId="0" xfId="1" applyFont="1" applyAlignment="1" applyProtection="1">
      <alignment horizontal="left" vertical="center"/>
    </xf>
  </cellXfs>
  <cellStyles count="6">
    <cellStyle name="20% - Énfasis4" xfId="4" builtinId="42"/>
    <cellStyle name="40% - Énfasis4" xfId="5" builtinId="43"/>
    <cellStyle name="Énfasis2" xfId="3" builtinId="33"/>
    <cellStyle name="Hipervínculo" xfId="1" builtinId="8" customBuiltin="1"/>
    <cellStyle name="Normal" xfId="0" builtinId="0"/>
    <cellStyle name="Porcentaje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uF64ZYaVzSc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youtube.com/watch?v=p_7okCxR-KQ" TargetMode="External"/><Relationship Id="rId1" Type="http://schemas.openxmlformats.org/officeDocument/2006/relationships/hyperlink" Target="https://www.youtube.com/watch?v=p_7okCxR-KQ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uF64ZYaVz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32"/>
  <sheetViews>
    <sheetView showGridLines="0" tabSelected="1" showRuler="0" zoomScaleNormal="100" zoomScalePageLayoutView="70" workbookViewId="0">
      <pane ySplit="6" topLeftCell="A7" activePane="bottomLeft" state="frozen"/>
      <selection pane="bottomLeft" activeCell="AD2" sqref="AD2"/>
    </sheetView>
  </sheetViews>
  <sheetFormatPr defaultColWidth="8.85546875" defaultRowHeight="14.45"/>
  <cols>
    <col min="1" max="1" width="2.7109375" customWidth="1"/>
    <col min="2" max="2" width="40.7109375" customWidth="1"/>
    <col min="3" max="3" width="12.7109375" customWidth="1"/>
    <col min="4" max="4" width="10.7109375" customWidth="1"/>
    <col min="5" max="5" width="10.42578125" style="5" customWidth="1"/>
    <col min="6" max="6" width="10.42578125" customWidth="1"/>
    <col min="7" max="7" width="2.7109375" customWidth="1"/>
    <col min="8" max="8" width="6.140625" hidden="1" customWidth="1"/>
    <col min="9" max="43" width="2.7109375" customWidth="1"/>
    <col min="48" max="49" width="10.28515625"/>
  </cols>
  <sheetData>
    <row r="1" spans="1:43" ht="28.9">
      <c r="B1" s="15" t="s">
        <v>0</v>
      </c>
      <c r="C1" s="1"/>
      <c r="D1" s="2"/>
      <c r="E1" s="4"/>
      <c r="F1" s="48"/>
      <c r="H1" s="2"/>
      <c r="I1" s="8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</row>
    <row r="2" spans="1:43" ht="19.5" customHeight="1">
      <c r="B2" s="9"/>
      <c r="D2" s="6" t="s">
        <v>1</v>
      </c>
      <c r="E2" s="65">
        <v>45945</v>
      </c>
      <c r="F2" s="66"/>
    </row>
    <row r="3" spans="1:43" ht="19.5" customHeight="1">
      <c r="B3" s="9"/>
      <c r="D3" s="6" t="s">
        <v>2</v>
      </c>
      <c r="E3" s="65">
        <v>45948</v>
      </c>
      <c r="F3" s="66"/>
    </row>
    <row r="4" spans="1:43" ht="19.5" customHeight="1">
      <c r="D4" s="6" t="s">
        <v>3</v>
      </c>
      <c r="E4" s="7">
        <v>1</v>
      </c>
      <c r="I4" s="67">
        <f>I5</f>
        <v>45943</v>
      </c>
      <c r="J4" s="68"/>
      <c r="K4" s="68"/>
      <c r="L4" s="68"/>
      <c r="M4" s="68"/>
      <c r="N4" s="68"/>
      <c r="O4" s="69"/>
      <c r="P4" s="67">
        <f>P5</f>
        <v>45950</v>
      </c>
      <c r="Q4" s="68"/>
      <c r="R4" s="68"/>
      <c r="S4" s="68"/>
      <c r="T4" s="68"/>
      <c r="U4" s="68"/>
      <c r="V4" s="69"/>
      <c r="W4" s="67">
        <f>W5</f>
        <v>45957</v>
      </c>
      <c r="X4" s="68"/>
      <c r="Y4" s="68"/>
      <c r="Z4" s="68"/>
      <c r="AA4" s="68"/>
      <c r="AB4" s="68"/>
      <c r="AC4" s="69"/>
      <c r="AD4" s="67">
        <f>AD5</f>
        <v>45964</v>
      </c>
      <c r="AE4" s="68"/>
      <c r="AF4" s="68"/>
      <c r="AG4" s="68"/>
      <c r="AH4" s="68"/>
      <c r="AI4" s="68"/>
      <c r="AJ4" s="69"/>
      <c r="AK4" s="67">
        <f>AK5</f>
        <v>45971</v>
      </c>
      <c r="AL4" s="68"/>
      <c r="AM4" s="68"/>
      <c r="AN4" s="68"/>
      <c r="AO4" s="68"/>
      <c r="AP4" s="68"/>
      <c r="AQ4" s="69"/>
    </row>
    <row r="5" spans="1:43">
      <c r="A5" s="6"/>
      <c r="G5" s="6"/>
      <c r="I5" s="12">
        <f>E2-WEEKDAY(E2,1)+2+7*(E4-1)</f>
        <v>45943</v>
      </c>
      <c r="J5" s="11">
        <f>I5+1</f>
        <v>45944</v>
      </c>
      <c r="K5" s="11">
        <f t="shared" ref="K5:AQ5" si="0">J5+1</f>
        <v>45945</v>
      </c>
      <c r="L5" s="11">
        <f t="shared" si="0"/>
        <v>45946</v>
      </c>
      <c r="M5" s="11">
        <f t="shared" si="0"/>
        <v>45947</v>
      </c>
      <c r="N5" s="11">
        <f t="shared" si="0"/>
        <v>45948</v>
      </c>
      <c r="O5" s="13">
        <f t="shared" si="0"/>
        <v>45949</v>
      </c>
      <c r="P5" s="12">
        <f>O5+1</f>
        <v>45950</v>
      </c>
      <c r="Q5" s="11">
        <f>P5+1</f>
        <v>45951</v>
      </c>
      <c r="R5" s="11">
        <f t="shared" si="0"/>
        <v>45952</v>
      </c>
      <c r="S5" s="11">
        <f t="shared" si="0"/>
        <v>45953</v>
      </c>
      <c r="T5" s="11">
        <f t="shared" si="0"/>
        <v>45954</v>
      </c>
      <c r="U5" s="11">
        <f t="shared" si="0"/>
        <v>45955</v>
      </c>
      <c r="V5" s="13">
        <f t="shared" si="0"/>
        <v>45956</v>
      </c>
      <c r="W5" s="12">
        <f>V5+1</f>
        <v>45957</v>
      </c>
      <c r="X5" s="11">
        <f>W5+1</f>
        <v>45958</v>
      </c>
      <c r="Y5" s="11">
        <f t="shared" si="0"/>
        <v>45959</v>
      </c>
      <c r="Z5" s="11">
        <f t="shared" si="0"/>
        <v>45960</v>
      </c>
      <c r="AA5" s="11">
        <f t="shared" si="0"/>
        <v>45961</v>
      </c>
      <c r="AB5" s="11">
        <f t="shared" si="0"/>
        <v>45962</v>
      </c>
      <c r="AC5" s="13">
        <f t="shared" si="0"/>
        <v>45963</v>
      </c>
      <c r="AD5" s="12">
        <f>AC5+1</f>
        <v>45964</v>
      </c>
      <c r="AE5" s="11">
        <f>AD5+1</f>
        <v>45965</v>
      </c>
      <c r="AF5" s="11">
        <f t="shared" si="0"/>
        <v>45966</v>
      </c>
      <c r="AG5" s="11">
        <f t="shared" si="0"/>
        <v>45967</v>
      </c>
      <c r="AH5" s="11">
        <f t="shared" si="0"/>
        <v>45968</v>
      </c>
      <c r="AI5" s="11">
        <f t="shared" si="0"/>
        <v>45969</v>
      </c>
      <c r="AJ5" s="13">
        <f t="shared" si="0"/>
        <v>45970</v>
      </c>
      <c r="AK5" s="12">
        <f>AJ5+1</f>
        <v>45971</v>
      </c>
      <c r="AL5" s="11">
        <f>AK5+1</f>
        <v>45972</v>
      </c>
      <c r="AM5" s="11">
        <f t="shared" si="0"/>
        <v>45973</v>
      </c>
      <c r="AN5" s="11">
        <f t="shared" si="0"/>
        <v>45974</v>
      </c>
      <c r="AO5" s="11">
        <f t="shared" si="0"/>
        <v>45975</v>
      </c>
      <c r="AP5" s="11">
        <f t="shared" si="0"/>
        <v>45976</v>
      </c>
      <c r="AQ5" s="13">
        <f t="shared" si="0"/>
        <v>45977</v>
      </c>
    </row>
    <row r="6" spans="1:43" ht="29.25" customHeight="1" thickBot="1">
      <c r="A6" s="16"/>
      <c r="B6" s="62" t="s">
        <v>4</v>
      </c>
      <c r="C6" s="63" t="s">
        <v>5</v>
      </c>
      <c r="D6" s="63" t="s">
        <v>6</v>
      </c>
      <c r="E6" s="63" t="s">
        <v>7</v>
      </c>
      <c r="F6" s="63" t="s">
        <v>8</v>
      </c>
      <c r="G6" s="10"/>
      <c r="H6" s="10" t="s">
        <v>9</v>
      </c>
      <c r="I6" s="14" t="str">
        <f t="shared" ref="I6" si="1">LEFT(TEXT(I5,"ddd"),1)</f>
        <v>l</v>
      </c>
      <c r="J6" s="14" t="str">
        <f t="shared" ref="J6:AQ6" si="2">LEFT(TEXT(J5,"ddd"),1)</f>
        <v>m</v>
      </c>
      <c r="K6" s="14" t="str">
        <f t="shared" si="2"/>
        <v>m</v>
      </c>
      <c r="L6" s="14" t="str">
        <f t="shared" si="2"/>
        <v>j</v>
      </c>
      <c r="M6" s="14" t="str">
        <f t="shared" si="2"/>
        <v>v</v>
      </c>
      <c r="N6" s="14" t="str">
        <f t="shared" si="2"/>
        <v>s</v>
      </c>
      <c r="O6" s="14" t="str">
        <f t="shared" si="2"/>
        <v>d</v>
      </c>
      <c r="P6" s="14" t="str">
        <f t="shared" si="2"/>
        <v>l</v>
      </c>
      <c r="Q6" s="14" t="str">
        <f t="shared" si="2"/>
        <v>m</v>
      </c>
      <c r="R6" s="14" t="str">
        <f t="shared" si="2"/>
        <v>m</v>
      </c>
      <c r="S6" s="14" t="str">
        <f t="shared" si="2"/>
        <v>j</v>
      </c>
      <c r="T6" s="14" t="str">
        <f t="shared" si="2"/>
        <v>v</v>
      </c>
      <c r="U6" s="14" t="str">
        <f t="shared" si="2"/>
        <v>s</v>
      </c>
      <c r="V6" s="14" t="str">
        <f t="shared" si="2"/>
        <v>d</v>
      </c>
      <c r="W6" s="14" t="str">
        <f t="shared" si="2"/>
        <v>l</v>
      </c>
      <c r="X6" s="14" t="str">
        <f t="shared" si="2"/>
        <v>m</v>
      </c>
      <c r="Y6" s="14" t="str">
        <f t="shared" si="2"/>
        <v>m</v>
      </c>
      <c r="Z6" s="14" t="str">
        <f t="shared" si="2"/>
        <v>j</v>
      </c>
      <c r="AA6" s="14" t="str">
        <f t="shared" si="2"/>
        <v>v</v>
      </c>
      <c r="AB6" s="14" t="str">
        <f t="shared" si="2"/>
        <v>s</v>
      </c>
      <c r="AC6" s="14" t="str">
        <f t="shared" si="2"/>
        <v>d</v>
      </c>
      <c r="AD6" s="14" t="str">
        <f t="shared" si="2"/>
        <v>l</v>
      </c>
      <c r="AE6" s="14" t="str">
        <f t="shared" si="2"/>
        <v>m</v>
      </c>
      <c r="AF6" s="14" t="str">
        <f t="shared" si="2"/>
        <v>m</v>
      </c>
      <c r="AG6" s="14" t="str">
        <f t="shared" si="2"/>
        <v>j</v>
      </c>
      <c r="AH6" s="14" t="str">
        <f t="shared" si="2"/>
        <v>v</v>
      </c>
      <c r="AI6" s="14" t="str">
        <f t="shared" si="2"/>
        <v>s</v>
      </c>
      <c r="AJ6" s="14" t="str">
        <f t="shared" si="2"/>
        <v>d</v>
      </c>
      <c r="AK6" s="14" t="str">
        <f t="shared" si="2"/>
        <v>l</v>
      </c>
      <c r="AL6" s="14" t="str">
        <f t="shared" si="2"/>
        <v>m</v>
      </c>
      <c r="AM6" s="14" t="str">
        <f t="shared" si="2"/>
        <v>m</v>
      </c>
      <c r="AN6" s="14" t="str">
        <f t="shared" si="2"/>
        <v>j</v>
      </c>
      <c r="AO6" s="14" t="str">
        <f t="shared" si="2"/>
        <v>v</v>
      </c>
      <c r="AP6" s="14" t="str">
        <f t="shared" si="2"/>
        <v>s</v>
      </c>
      <c r="AQ6" s="14" t="str">
        <f t="shared" si="2"/>
        <v>d</v>
      </c>
    </row>
    <row r="7" spans="1:43" s="3" customFormat="1" ht="21.6" thickBot="1">
      <c r="A7" s="16"/>
      <c r="B7" s="17"/>
      <c r="C7" s="18"/>
      <c r="D7" s="19"/>
      <c r="E7" s="20"/>
      <c r="F7" s="21"/>
      <c r="G7" s="22"/>
      <c r="H7" s="22" t="str">
        <f t="shared" ref="H7:H32" ca="1" si="3">IF(OR(ISBLANK(task_start),ISBLANK(task_end)),"",task_end-task_start+1)</f>
        <v/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64"/>
      <c r="AP7" s="46"/>
      <c r="AQ7" s="46"/>
    </row>
    <row r="8" spans="1:43" s="3" customFormat="1" ht="21.6" thickBot="1">
      <c r="A8" s="16"/>
      <c r="B8" s="23" t="s">
        <v>10</v>
      </c>
      <c r="C8" s="24"/>
      <c r="D8" s="25"/>
      <c r="E8" s="26"/>
      <c r="F8" s="27"/>
      <c r="G8" s="22"/>
      <c r="H8" s="22" t="str">
        <f t="shared" ca="1" si="3"/>
        <v/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64"/>
      <c r="AP8" s="46"/>
      <c r="AQ8" s="46"/>
    </row>
    <row r="9" spans="1:43" s="3" customFormat="1" ht="21.6" thickBot="1">
      <c r="A9" s="16"/>
      <c r="B9" s="53" t="s">
        <v>11</v>
      </c>
      <c r="C9" s="28" t="s">
        <v>12</v>
      </c>
      <c r="D9" s="29">
        <v>0</v>
      </c>
      <c r="E9" s="49">
        <v>45949</v>
      </c>
      <c r="F9" s="50">
        <v>45949</v>
      </c>
      <c r="G9" s="22"/>
      <c r="H9" s="22">
        <f t="shared" ca="1" si="3"/>
        <v>1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64"/>
      <c r="AP9" s="46"/>
      <c r="AQ9" s="46"/>
    </row>
    <row r="10" spans="1:43" s="3" customFormat="1" ht="21.6" thickBot="1">
      <c r="A10" s="16"/>
      <c r="B10" s="53" t="s">
        <v>11</v>
      </c>
      <c r="C10" s="28" t="s">
        <v>13</v>
      </c>
      <c r="D10" s="29">
        <v>0</v>
      </c>
      <c r="E10" s="49">
        <v>45949</v>
      </c>
      <c r="F10" s="50">
        <v>45949</v>
      </c>
      <c r="G10" s="22"/>
      <c r="H10" s="22">
        <f t="shared" ca="1" si="3"/>
        <v>1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7"/>
      <c r="V10" s="47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64"/>
      <c r="AP10" s="46"/>
      <c r="AQ10" s="46"/>
    </row>
    <row r="11" spans="1:43" s="3" customFormat="1" ht="21.6" thickBot="1">
      <c r="A11" s="16"/>
      <c r="B11" s="53" t="s">
        <v>11</v>
      </c>
      <c r="C11" s="28" t="s">
        <v>14</v>
      </c>
      <c r="D11" s="29">
        <v>0</v>
      </c>
      <c r="E11" s="49">
        <v>45949</v>
      </c>
      <c r="F11" s="50">
        <v>45949</v>
      </c>
      <c r="G11" s="22"/>
      <c r="H11" s="22">
        <f t="shared" ca="1" si="3"/>
        <v>1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64"/>
      <c r="AP11" s="46"/>
      <c r="AQ11" s="46"/>
    </row>
    <row r="12" spans="1:43" s="3" customFormat="1" ht="21.6" thickBot="1">
      <c r="A12" s="16"/>
      <c r="B12" s="53" t="s">
        <v>15</v>
      </c>
      <c r="C12" s="28" t="s">
        <v>12</v>
      </c>
      <c r="D12" s="29">
        <v>0</v>
      </c>
      <c r="E12" s="49">
        <v>45949</v>
      </c>
      <c r="F12" s="50">
        <v>45949</v>
      </c>
      <c r="G12" s="22"/>
      <c r="H12" s="22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64"/>
      <c r="AP12" s="46"/>
      <c r="AQ12" s="46"/>
    </row>
    <row r="13" spans="1:43" s="3" customFormat="1" ht="21.6" thickBot="1">
      <c r="A13" s="16"/>
      <c r="B13" s="53" t="s">
        <v>15</v>
      </c>
      <c r="C13" s="28" t="s">
        <v>13</v>
      </c>
      <c r="D13" s="29">
        <v>0</v>
      </c>
      <c r="E13" s="49">
        <v>45949</v>
      </c>
      <c r="F13" s="50">
        <v>45949</v>
      </c>
      <c r="G13" s="22"/>
      <c r="H13" s="22">
        <f t="shared" ca="1" si="3"/>
        <v>1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64"/>
      <c r="AP13" s="46"/>
      <c r="AQ13" s="46"/>
    </row>
    <row r="14" spans="1:43" s="3" customFormat="1" ht="21.6" thickBot="1">
      <c r="A14" s="16"/>
      <c r="B14" s="53" t="s">
        <v>15</v>
      </c>
      <c r="C14" s="28" t="s">
        <v>14</v>
      </c>
      <c r="D14" s="29">
        <v>0</v>
      </c>
      <c r="E14" s="49">
        <v>45949</v>
      </c>
      <c r="F14" s="50">
        <v>45949</v>
      </c>
      <c r="G14" s="22"/>
      <c r="H14" s="22">
        <f t="shared" ca="1" si="3"/>
        <v>1</v>
      </c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64"/>
      <c r="AP14" s="46"/>
      <c r="AQ14" s="46"/>
    </row>
    <row r="15" spans="1:43" s="3" customFormat="1" ht="21.6" thickBot="1">
      <c r="A15" s="16"/>
      <c r="B15" s="30" t="s">
        <v>16</v>
      </c>
      <c r="C15" s="31"/>
      <c r="D15" s="32"/>
      <c r="E15" s="33"/>
      <c r="F15" s="34"/>
      <c r="G15" s="22"/>
      <c r="H15" s="22" t="str">
        <f t="shared" ca="1" si="3"/>
        <v/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64"/>
      <c r="AP15" s="46"/>
      <c r="AQ15" s="46"/>
    </row>
    <row r="16" spans="1:43" s="3" customFormat="1" ht="21.6" thickBot="1">
      <c r="A16" s="16"/>
      <c r="B16" s="35" t="s">
        <v>17</v>
      </c>
      <c r="C16" s="36" t="s">
        <v>12</v>
      </c>
      <c r="D16" s="37">
        <v>0</v>
      </c>
      <c r="E16" s="51">
        <v>45949</v>
      </c>
      <c r="F16" s="51">
        <v>45949</v>
      </c>
      <c r="G16" s="22"/>
      <c r="H16" s="22">
        <f t="shared" ca="1" si="3"/>
        <v>1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64"/>
      <c r="AP16" s="46"/>
      <c r="AQ16" s="46"/>
    </row>
    <row r="17" spans="1:43" s="3" customFormat="1" ht="21.6" thickBot="1">
      <c r="A17" s="16"/>
      <c r="B17" s="35" t="s">
        <v>18</v>
      </c>
      <c r="C17" s="36" t="s">
        <v>13</v>
      </c>
      <c r="D17" s="37">
        <v>0</v>
      </c>
      <c r="E17" s="51">
        <v>45949</v>
      </c>
      <c r="F17" s="51">
        <v>45952</v>
      </c>
      <c r="G17" s="22"/>
      <c r="H17" s="22">
        <f t="shared" ca="1" si="3"/>
        <v>4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/>
      <c r="V17" s="47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64"/>
      <c r="AP17" s="46"/>
      <c r="AQ17" s="46"/>
    </row>
    <row r="18" spans="1:43" s="3" customFormat="1" ht="21.6" thickBot="1">
      <c r="A18" s="16"/>
      <c r="B18" s="35" t="s">
        <v>19</v>
      </c>
      <c r="C18" s="36" t="s">
        <v>12</v>
      </c>
      <c r="D18" s="37">
        <v>0</v>
      </c>
      <c r="E18" s="51">
        <v>45949</v>
      </c>
      <c r="F18" s="51">
        <v>45949</v>
      </c>
      <c r="G18" s="22"/>
      <c r="H18" s="22">
        <f t="shared" ca="1" si="3"/>
        <v>1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64"/>
      <c r="AP18" s="46"/>
      <c r="AQ18" s="46"/>
    </row>
    <row r="19" spans="1:43" s="3" customFormat="1" ht="21.6" thickBot="1">
      <c r="A19" s="16"/>
      <c r="B19" s="35" t="s">
        <v>20</v>
      </c>
      <c r="C19" s="36" t="s">
        <v>12</v>
      </c>
      <c r="D19" s="37">
        <v>0</v>
      </c>
      <c r="E19" s="51">
        <v>45952</v>
      </c>
      <c r="F19" s="51">
        <v>45952</v>
      </c>
      <c r="G19" s="22"/>
      <c r="H19" s="22">
        <f t="shared" ca="1" si="3"/>
        <v>1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64"/>
      <c r="AP19" s="46"/>
      <c r="AQ19" s="46"/>
    </row>
    <row r="20" spans="1:43" s="3" customFormat="1" ht="21.6" thickBot="1">
      <c r="A20" s="16"/>
      <c r="B20" s="35" t="s">
        <v>21</v>
      </c>
      <c r="C20" s="36" t="s">
        <v>22</v>
      </c>
      <c r="D20" s="37">
        <v>0</v>
      </c>
      <c r="E20" s="51">
        <v>45952</v>
      </c>
      <c r="F20" s="51">
        <v>45953</v>
      </c>
      <c r="G20" s="22"/>
      <c r="H20" s="22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64"/>
      <c r="AP20" s="46"/>
      <c r="AQ20" s="46"/>
    </row>
    <row r="21" spans="1:43" s="3" customFormat="1" ht="21.6" thickBot="1">
      <c r="A21" s="16"/>
      <c r="B21" s="35" t="s">
        <v>23</v>
      </c>
      <c r="C21" s="36" t="s">
        <v>22</v>
      </c>
      <c r="D21" s="37">
        <v>0</v>
      </c>
      <c r="E21" s="51">
        <v>45952</v>
      </c>
      <c r="F21" s="51">
        <v>45956</v>
      </c>
      <c r="G21" s="22"/>
      <c r="H21" s="22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64"/>
      <c r="AP21" s="46"/>
      <c r="AQ21" s="46"/>
    </row>
    <row r="22" spans="1:43" s="3" customFormat="1" ht="21.6" thickBot="1">
      <c r="A22" s="16"/>
      <c r="B22" s="35" t="s">
        <v>24</v>
      </c>
      <c r="C22" s="36" t="s">
        <v>12</v>
      </c>
      <c r="D22" s="37">
        <v>0</v>
      </c>
      <c r="E22" s="51">
        <v>45959</v>
      </c>
      <c r="F22" s="51">
        <v>45960</v>
      </c>
      <c r="G22" s="22"/>
      <c r="H22" s="22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64"/>
      <c r="AP22" s="46"/>
      <c r="AQ22" s="46"/>
    </row>
    <row r="23" spans="1:43" s="3" customFormat="1" ht="21.6" thickBot="1">
      <c r="A23" s="16"/>
      <c r="B23" s="35" t="s">
        <v>25</v>
      </c>
      <c r="C23" s="36" t="s">
        <v>13</v>
      </c>
      <c r="D23" s="37">
        <v>0</v>
      </c>
      <c r="E23" s="51">
        <v>45959</v>
      </c>
      <c r="F23" s="51">
        <v>45962</v>
      </c>
      <c r="G23" s="22"/>
      <c r="H23" s="22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64"/>
      <c r="AP23" s="46"/>
      <c r="AQ23" s="46"/>
    </row>
    <row r="24" spans="1:43" s="3" customFormat="1" ht="21.6" thickBot="1">
      <c r="A24" s="16"/>
      <c r="B24" s="35" t="s">
        <v>26</v>
      </c>
      <c r="C24" s="36" t="s">
        <v>22</v>
      </c>
      <c r="D24" s="37">
        <v>0</v>
      </c>
      <c r="E24" s="51">
        <v>45962</v>
      </c>
      <c r="F24" s="51">
        <v>45966</v>
      </c>
      <c r="G24" s="22"/>
      <c r="H24" s="22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64"/>
      <c r="AP24" s="46"/>
      <c r="AQ24" s="46"/>
    </row>
    <row r="25" spans="1:43" s="3" customFormat="1" ht="21.6" thickBot="1">
      <c r="A25" s="16"/>
      <c r="B25" s="35" t="s">
        <v>27</v>
      </c>
      <c r="C25" s="36" t="s">
        <v>12</v>
      </c>
      <c r="D25" s="37">
        <v>0</v>
      </c>
      <c r="E25" s="51">
        <v>45969</v>
      </c>
      <c r="F25" s="51">
        <v>45969</v>
      </c>
      <c r="G25" s="22"/>
      <c r="H25" s="22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64"/>
      <c r="AP25" s="46"/>
      <c r="AQ25" s="46"/>
    </row>
    <row r="26" spans="1:43" s="3" customFormat="1" ht="21.6" thickBot="1">
      <c r="A26" s="16"/>
      <c r="B26" s="38" t="s">
        <v>28</v>
      </c>
      <c r="C26" s="39"/>
      <c r="D26" s="40"/>
      <c r="E26" s="41"/>
      <c r="F26" s="42"/>
      <c r="G26" s="22"/>
      <c r="H26" s="22" t="str">
        <f t="shared" ca="1" si="3"/>
        <v/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64"/>
      <c r="AP26" s="46"/>
      <c r="AQ26" s="46"/>
    </row>
    <row r="27" spans="1:43" s="3" customFormat="1" ht="21.6" thickBot="1">
      <c r="A27" s="16"/>
      <c r="B27" s="43" t="s">
        <v>29</v>
      </c>
      <c r="C27" s="44" t="s">
        <v>14</v>
      </c>
      <c r="D27" s="45">
        <v>0</v>
      </c>
      <c r="E27" s="52">
        <v>45952</v>
      </c>
      <c r="F27" s="52">
        <v>45956</v>
      </c>
      <c r="G27" s="22"/>
      <c r="H27" s="22">
        <f t="shared" ca="1" si="3"/>
        <v>5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64"/>
      <c r="AP27" s="46"/>
      <c r="AQ27" s="46"/>
    </row>
    <row r="28" spans="1:43" s="3" customFormat="1" ht="21.6" thickBot="1">
      <c r="A28" s="16"/>
      <c r="B28" s="43" t="s">
        <v>30</v>
      </c>
      <c r="C28" s="44" t="s">
        <v>14</v>
      </c>
      <c r="D28" s="45">
        <v>0</v>
      </c>
      <c r="E28" s="52">
        <v>45959</v>
      </c>
      <c r="F28" s="52">
        <v>45963</v>
      </c>
      <c r="G28" s="22"/>
      <c r="H28" s="22">
        <f t="shared" ca="1" si="3"/>
        <v>5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64"/>
      <c r="AP28" s="46"/>
      <c r="AQ28" s="46"/>
    </row>
    <row r="29" spans="1:43" s="3" customFormat="1" ht="21.6" thickBot="1">
      <c r="A29" s="16"/>
      <c r="B29" s="43" t="s">
        <v>31</v>
      </c>
      <c r="C29" s="44" t="s">
        <v>14</v>
      </c>
      <c r="D29" s="45">
        <v>0</v>
      </c>
      <c r="E29" s="52">
        <v>45966</v>
      </c>
      <c r="F29" s="52">
        <v>45970</v>
      </c>
      <c r="G29" s="22"/>
      <c r="H29" s="22">
        <f t="shared" ca="1" si="3"/>
        <v>5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64"/>
      <c r="AP29" s="46"/>
      <c r="AQ29" s="46"/>
    </row>
    <row r="30" spans="1:43" s="3" customFormat="1" ht="21.6" thickBot="1">
      <c r="A30" s="16"/>
      <c r="B30" s="43" t="s">
        <v>32</v>
      </c>
      <c r="C30" s="44" t="s">
        <v>33</v>
      </c>
      <c r="D30" s="45">
        <v>0</v>
      </c>
      <c r="E30" s="52">
        <v>45970</v>
      </c>
      <c r="F30" s="52">
        <v>45970</v>
      </c>
      <c r="G30" s="22"/>
      <c r="H30" s="22">
        <f t="shared" ca="1" si="3"/>
        <v>1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64"/>
      <c r="AP30" s="46"/>
      <c r="AQ30" s="46"/>
    </row>
    <row r="31" spans="1:43" s="3" customFormat="1" ht="21.6" thickBot="1">
      <c r="A31" s="16"/>
      <c r="B31" s="54" t="s">
        <v>34</v>
      </c>
      <c r="C31" s="55"/>
      <c r="D31" s="56"/>
      <c r="E31" s="57"/>
      <c r="F31" s="57"/>
      <c r="G31" s="22"/>
      <c r="H31" s="22" t="str">
        <f t="shared" ca="1" si="3"/>
        <v/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64"/>
      <c r="AP31" s="46"/>
      <c r="AQ31" s="46"/>
    </row>
    <row r="32" spans="1:43" s="3" customFormat="1" ht="21.6" thickBot="1">
      <c r="A32" s="16"/>
      <c r="B32" s="58" t="s">
        <v>35</v>
      </c>
      <c r="C32" s="59" t="s">
        <v>33</v>
      </c>
      <c r="D32" s="60">
        <v>0</v>
      </c>
      <c r="E32" s="61">
        <v>45949</v>
      </c>
      <c r="F32" s="61">
        <v>45974</v>
      </c>
      <c r="G32" s="22"/>
      <c r="H32" s="22">
        <f t="shared" ca="1" si="3"/>
        <v>26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64"/>
      <c r="AP32" s="46"/>
      <c r="AQ32" s="46"/>
    </row>
  </sheetData>
  <mergeCells count="8">
    <mergeCell ref="J1:AA1"/>
    <mergeCell ref="AK4:AQ4"/>
    <mergeCell ref="E2:F2"/>
    <mergeCell ref="I4:O4"/>
    <mergeCell ref="P4:V4"/>
    <mergeCell ref="W4:AC4"/>
    <mergeCell ref="AD4:AJ4"/>
    <mergeCell ref="E3:F3"/>
  </mergeCells>
  <phoneticPr fontId="18" type="noConversion"/>
  <conditionalFormatting sqref="D7:D32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AQ32">
    <cfRule type="expression" dxfId="2" priority="27">
      <formula>AND(today&gt;=I$5,today&lt;I$5+1)</formula>
    </cfRule>
  </conditionalFormatting>
  <conditionalFormatting sqref="I7:AQ32">
    <cfRule type="expression" dxfId="1" priority="25">
      <formula>AND(task_start&lt;=I$5,ROUNDDOWN((task_end-task_start+1)*task_progress,0)+task_start-1&gt;=I$5)</formula>
    </cfRule>
    <cfRule type="expression" dxfId="0" priority="26" stopIfTrue="1">
      <formula>AND(task_end&gt;=I$5,task_start&lt;I$5+1)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E4" xr:uid="{00000000-0002-0000-0000-000000000000}">
      <formula1>1</formula1>
    </dataValidation>
  </dataValidations>
  <hyperlinks>
    <hyperlink ref="B9" r:id="rId1" xr:uid="{EC45937F-21BE-4F32-ACFF-1847A8F84EC6}"/>
    <hyperlink ref="B10:B11" r:id="rId2" display="Instalar ANTLR" xr:uid="{7BFB9489-E836-40E1-9E62-297591A546B2}"/>
    <hyperlink ref="B12" r:id="rId3" xr:uid="{8D5351FE-635F-475E-8AE0-237F03C8147E}"/>
    <hyperlink ref="B13:B14" r:id="rId4" display="Ver vídeo ejercicio ANTLR" xr:uid="{7EEEF808-354F-4CB0-9B80-A756117719F4}"/>
  </hyperlinks>
  <pageMargins left="0.35" right="0.35" top="0.35" bottom="0.5" header="0.3" footer="0.3"/>
  <pageSetup scale="62" fitToHeight="0" orientation="landscape" r:id="rId5"/>
  <headerFooter scaleWithDoc="0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FAC6F052AD324D848726D2A33560FC" ma:contentTypeVersion="18" ma:contentTypeDescription="Crear nuevo documento." ma:contentTypeScope="" ma:versionID="6fea75f8cf386e85394d3420e328cd4e">
  <xsd:schema xmlns:xsd="http://www.w3.org/2001/XMLSchema" xmlns:xs="http://www.w3.org/2001/XMLSchema" xmlns:p="http://schemas.microsoft.com/office/2006/metadata/properties" xmlns:ns3="9e089812-86ae-41fe-ae56-291a4a166529" xmlns:ns4="c7a46597-be48-4a3f-b41b-7936f3e8d825" targetNamespace="http://schemas.microsoft.com/office/2006/metadata/properties" ma:root="true" ma:fieldsID="f72fde541c2a855a2d306150cab9dc3c" ns3:_="" ns4:_="">
    <xsd:import namespace="9e089812-86ae-41fe-ae56-291a4a166529"/>
    <xsd:import namespace="c7a46597-be48-4a3f-b41b-7936f3e8d8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89812-86ae-41fe-ae56-291a4a166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46597-be48-4a3f-b41b-7936f3e8d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089812-86ae-41fe-ae56-291a4a1665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B3F6D3-F5F6-4696-A9E6-5AB10502BB92}"/>
</file>

<file path=customXml/itemProps2.xml><?xml version="1.0" encoding="utf-8"?>
<ds:datastoreItem xmlns:ds="http://schemas.openxmlformats.org/officeDocument/2006/customXml" ds:itemID="{9BD6692F-4B15-473C-B69C-5516F4C1F156}"/>
</file>

<file path=customXml/itemProps3.xml><?xml version="1.0" encoding="utf-8"?>
<ds:datastoreItem xmlns:ds="http://schemas.openxmlformats.org/officeDocument/2006/customXml" ds:itemID="{6F7E80F6-F5D9-43B1-9438-47AEEE795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subject/>
  <dc:creator>Vertex42.com</dc:creator>
  <cp:keywords/>
  <dc:description>© 2018-2019 Vertex42 LLC. All Rights Reserved.</dc:description>
  <cp:lastModifiedBy>Díaz Vidal Diego</cp:lastModifiedBy>
  <cp:revision/>
  <dcterms:created xsi:type="dcterms:W3CDTF">2017-01-09T18:01:51Z</dcterms:created>
  <dcterms:modified xsi:type="dcterms:W3CDTF">2025-10-18T10:00:36Z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  <property fmtid="{D5CDD505-2E9C-101B-9397-08002B2CF9AE}" pid="5" name="ContentTypeId">
    <vt:lpwstr>0x01010022FAC6F052AD324D848726D2A33560FC</vt:lpwstr>
  </property>
</Properties>
</file>